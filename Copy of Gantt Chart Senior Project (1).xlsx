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<sst xmlns="http://schemas.openxmlformats.org/spreadsheetml/2006/main" count="68" uniqueCount="57">
  <si>
    <t>Adjustable Arm Prosthetic (AAP)</t>
  </si>
  <si>
    <t>Team Straw Hats</t>
  </si>
  <si>
    <t>Project Start:</t>
  </si>
  <si>
    <t xml:space="preserve">Team lead: Basel </t>
  </si>
  <si>
    <t>Display Week:</t>
  </si>
  <si>
    <t>TASK</t>
  </si>
  <si>
    <t>ASSIGNED TO</t>
  </si>
  <si>
    <t>PROGRESS</t>
  </si>
  <si>
    <t>START</t>
  </si>
  <si>
    <t>DAYS</t>
  </si>
  <si>
    <t>END</t>
  </si>
  <si>
    <t>Phase 1 (Design)</t>
  </si>
  <si>
    <t>Task 1 (Fingers/hand)</t>
  </si>
  <si>
    <t>Basel/James</t>
  </si>
  <si>
    <t>Task 2 (Forearm/elbow)</t>
  </si>
  <si>
    <t>James</t>
  </si>
  <si>
    <t>Task 3 (Coding)</t>
  </si>
  <si>
    <t>Eric</t>
  </si>
  <si>
    <t>Task 4 (Layout)</t>
  </si>
  <si>
    <t>All</t>
  </si>
  <si>
    <t>Phase 2 (Testing)</t>
  </si>
  <si>
    <t>Task 1 (Mobility)</t>
  </si>
  <si>
    <t>James/Basel</t>
  </si>
  <si>
    <t>Task 2 (Durability)</t>
  </si>
  <si>
    <t>Task 3 (Circuit/Coding)</t>
  </si>
  <si>
    <t>Task 4 (Electronic Limits)</t>
  </si>
  <si>
    <t>Phase 3 (Assembly)</t>
  </si>
  <si>
    <t>Task 1 (Hand)</t>
  </si>
  <si>
    <t>Task 3 (Electronics)</t>
  </si>
  <si>
    <t>Task 4 (Self Lacing)</t>
  </si>
  <si>
    <t>Phase 4 (Final Tests)</t>
  </si>
  <si>
    <t>Task 1 (Weight limits)</t>
  </si>
  <si>
    <t>Task 2 (Functional Tests)</t>
  </si>
  <si>
    <t>Task 3 (Coding limits)</t>
  </si>
  <si>
    <t>Task 4 (Any final adjustments)</t>
  </si>
  <si>
    <t xml:space="preserve">All </t>
  </si>
  <si>
    <t>ADD WORK TO TASKS AS NEEDED</t>
  </si>
  <si>
    <t>Phase 1</t>
  </si>
  <si>
    <t>Task 1: Make sure when designing hand that the knuckles will pair and only bend forward. Make sure to limit the back half of the knuckle. For the finger tips make sure to create loop for finger wiring so the wiring isnt exposed to the exterior. As we are designing make sure to create rough sketch model with measurements.</t>
  </si>
  <si>
    <t>Task 2: Make sure forearm is hollow to fit all electronics inside, but also get measurements for electronics so we can design housing for all parts internally in arm. Make sure elbow socket is deep enough to get at least 2 inches (50mm) of elbow into it. Ensure elbow and rear forearm pair properly and can support weight.</t>
  </si>
  <si>
    <t>Task 3: Get with Mr Lin or Mr Han to ask coding questions. Make sure that the board can switch both linear actuator and self lacing motor. also remember to code for emergency stop.</t>
  </si>
  <si>
    <t xml:space="preserve">Task 4: Make sure all measuements are proper and will fit into forearm shell. Make sure components are in optimal space for limited wiring and create cable runs. </t>
  </si>
  <si>
    <t>Phase 2:</t>
  </si>
  <si>
    <t xml:space="preserve">Task 1: Ensure that the fingers can bend fully to grab objects and cant go past the rear limits so they stay rigid. Ensure the extending rod can extend and lock into the specified slots. </t>
  </si>
  <si>
    <t>Task 2: Test print durability (do small tests when printing out samples ) and ensure strong enough to hold 10 lbs without electronic assistance. Verify it can do that at all locked positions of rod extended.</t>
  </si>
  <si>
    <t>Task 3: Verify coding is working properly with software. After testing software on apps verify software can operate hardware properly and manipulate components correctly. Test all functions of back and forth with the fingers and the self lacing. Switch between the two and see if it causes any errors</t>
  </si>
  <si>
    <t>Task 4: Verify actuator can pull lines and close with weight in hand. verify upper and lower limits of self lacing band. Verify battery length and how many operations before battery needs recharging</t>
  </si>
  <si>
    <t>Phase 3:</t>
  </si>
  <si>
    <t>Task 1: Ensure during hand assembly all joints interlock properly with each knuckle and the wires go through the tracks properly. Also verify that wrist is locked when attatching hand to forearm.</t>
  </si>
  <si>
    <t xml:space="preserve">Task 2: Ensure all components are in proper spots and arent interfering with operation of each other. Also verify the joining of the wrist and elbow (will be covered in durability testing but just reverify). Make sure to add silicone band (currently latex) into elbow socket </t>
  </si>
  <si>
    <t>Task 3: Verify all electronics are properly in their designated spots. Also shake test components in spots to see if they wiggle out or if it is too tight (will be verified in testing but just double check ). Also verifiy all components have enough wire for slight movement</t>
  </si>
  <si>
    <t xml:space="preserve">Task 4: Ensure motor and drive shaft are lined up properly. Also verify that all 3 cogs spin at the same rate for the lacing. </t>
  </si>
  <si>
    <t>Phase 4:</t>
  </si>
  <si>
    <t>Task 1:  Verify whole arm can hold at least 10 lbs while without electronics. Verify it can still do that while self laced onto dummy arm.</t>
  </si>
  <si>
    <t>Task 2: Verify fingers can close and hold objects. Verify self extending rods can be adjusted and still operate prosthetic. Verify self lacing will hold onto dummy arm.</t>
  </si>
  <si>
    <t>Task 3: Test all functions of back and forth with the fingers and the self lacing. Switch between the two and see if it causes any errors(this will be run in testing phase as well but just do another verification)</t>
  </si>
  <si>
    <t xml:space="preserve">Task 4: Make any adjustments that may be casuing issues. Do one last function test with everything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</si>
</sst>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d"/>
  </numFmts>
  <fonts count="7">
    <font>
      <sz val="10.0"/>
      <color rgb="FF000000"/>
      <name val="Arial"/>
      <scheme val="minor"/>
    </font>
    <font>
      <b/>
      <sz val="19.0"/>
      <color rgb="FF0000FF"/>
      <name val="Arial"/>
      <scheme val="minor"/>
    </font>
    <font>
      <color theme="1"/>
      <name val="Arial"/>
      <scheme val="minor"/>
    </font>
    <font>
      <b/>
      <color theme="1"/>
      <name val="Arial"/>
      <scheme val="minor"/>
    </font>
    <font>
      <b/>
      <sz val="8.0"/>
      <color theme="1"/>
      <name val="Arial"/>
      <scheme val="minor"/>
    </font>
    <font/>
    <font>
      <b/>
      <sz val="8.0"/>
      <color rgb="FFFFFFFF"/>
      <name val="Arial"/>
      <scheme val="minor"/>
    </font>
  </fonts>
  <fills count="6">
    <fill>
      <patternFill patternType="none"/>
    </fill>
    <fill>
      <patternFill patternType="lightGray"/>
    </fill>
    <fill>
      <patternFill patternType="solid">
        <fgColor rgb="FFD9D9D9"/>
        <bgColor rgb="FFD9D9D9"/>
      </patternFill>
    </fill>
    <fill>
      <patternFill patternType="solid">
        <fgColor rgb="FF666666"/>
        <bgColor rgb="FF666666"/>
      </patternFill>
    </fill>
    <fill>
      <patternFill patternType="solid">
        <fgColor rgb="FF6FA8DC"/>
        <bgColor rgb="FF6FA8DC"/>
      </patternFill>
    </fill>
    <fill>
      <patternFill patternType="solid">
        <fgColor rgb="FFFFFFFF"/>
        <bgColor rgb="FFFFFFFF"/>
      </patternFill>
    </fill>
  </fills>
  <borders count="10">
    <border/>
    <border>
      <left style="thin">
        <color rgb="FFFF0000"/>
      </left>
      <right style="thin">
        <color rgb="FFFF0000"/>
      </right>
      <top style="thin">
        <color rgb="FFFF0000"/>
      </top>
      <bottom style="thin">
        <color rgb="FFFF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3" numFmtId="0" xfId="0" applyAlignment="1" applyFont="1">
      <alignment readingOrder="0" vertical="center"/>
    </xf>
    <xf borderId="0" fillId="0" fontId="3" numFmtId="0" xfId="0" applyAlignment="1" applyFont="1">
      <alignment vertical="center"/>
    </xf>
    <xf borderId="0" fillId="0" fontId="3" numFmtId="0" xfId="0" applyAlignment="1" applyFont="1">
      <alignment horizontal="right" readingOrder="0" vertical="center"/>
    </xf>
    <xf borderId="1" fillId="0" fontId="3" numFmtId="164" xfId="0" applyAlignment="1" applyBorder="1" applyFont="1" applyNumberFormat="1">
      <alignment horizontal="center" readingOrder="0" vertical="center"/>
    </xf>
    <xf borderId="0" fillId="0" fontId="2" numFmtId="0" xfId="0" applyAlignment="1" applyFont="1">
      <alignment readingOrder="0" vertical="center"/>
    </xf>
    <xf borderId="1" fillId="0" fontId="3" numFmtId="0" xfId="0" applyAlignment="1" applyBorder="1" applyFont="1">
      <alignment horizontal="center" readingOrder="0" vertical="center"/>
    </xf>
    <xf borderId="2" fillId="2" fontId="4" numFmtId="165" xfId="0" applyAlignment="1" applyBorder="1" applyFill="1" applyFont="1" applyNumberFormat="1">
      <alignment horizontal="left" vertical="center"/>
    </xf>
    <xf borderId="3" fillId="0" fontId="5" numFmtId="0" xfId="0" applyBorder="1" applyFont="1"/>
    <xf borderId="4" fillId="0" fontId="5" numFmtId="0" xfId="0" applyBorder="1" applyFont="1"/>
    <xf borderId="0" fillId="0" fontId="2" numFmtId="165" xfId="0" applyAlignment="1" applyFont="1" applyNumberFormat="1">
      <alignment vertical="center"/>
    </xf>
    <xf borderId="5" fillId="2" fontId="4" numFmtId="166" xfId="0" applyAlignment="1" applyBorder="1" applyFont="1" applyNumberFormat="1">
      <alignment readingOrder="0" vertical="center"/>
    </xf>
    <xf borderId="6" fillId="2" fontId="4" numFmtId="166" xfId="0" applyAlignment="1" applyBorder="1" applyFont="1" applyNumberFormat="1">
      <alignment readingOrder="0" vertical="center"/>
    </xf>
    <xf borderId="7" fillId="2" fontId="4" numFmtId="166" xfId="0" applyAlignment="1" applyBorder="1" applyFont="1" applyNumberFormat="1">
      <alignment readingOrder="0" vertical="center"/>
    </xf>
    <xf borderId="0" fillId="0" fontId="2" numFmtId="166" xfId="0" applyAlignment="1" applyFont="1" applyNumberFormat="1">
      <alignment readingOrder="0" vertical="center"/>
    </xf>
    <xf borderId="0" fillId="3" fontId="6" numFmtId="0" xfId="0" applyAlignment="1" applyFill="1" applyFont="1">
      <alignment readingOrder="0" vertical="center"/>
    </xf>
    <xf borderId="0" fillId="3" fontId="6" numFmtId="0" xfId="0" applyAlignment="1" applyFont="1">
      <alignment vertical="center"/>
    </xf>
    <xf borderId="0" fillId="4" fontId="3" numFmtId="0" xfId="0" applyAlignment="1" applyFill="1" applyFont="1">
      <alignment readingOrder="0" vertical="center"/>
    </xf>
    <xf borderId="0" fillId="4" fontId="3" numFmtId="164" xfId="0" applyAlignment="1" applyFont="1" applyNumberFormat="1">
      <alignment readingOrder="0" vertical="center"/>
    </xf>
    <xf borderId="0" fillId="4" fontId="3" numFmtId="10" xfId="0" applyAlignment="1" applyFont="1" applyNumberFormat="1">
      <alignment readingOrder="0" vertical="center"/>
    </xf>
    <xf borderId="0" fillId="4" fontId="3" numFmtId="0" xfId="0" applyAlignment="1" applyFont="1">
      <alignment vertical="center"/>
    </xf>
    <xf borderId="0" fillId="4" fontId="3" numFmtId="164" xfId="0" applyAlignment="1" applyFont="1" applyNumberFormat="1">
      <alignment vertical="center"/>
    </xf>
    <xf borderId="0" fillId="5" fontId="3" numFmtId="0" xfId="0" applyAlignment="1" applyFill="1" applyFont="1">
      <alignment vertical="center"/>
    </xf>
    <xf borderId="8" fillId="2" fontId="2" numFmtId="0" xfId="0" applyAlignment="1" applyBorder="1" applyFont="1">
      <alignment readingOrder="0" vertical="center"/>
    </xf>
    <xf borderId="9" fillId="2" fontId="2" numFmtId="9" xfId="0" applyAlignment="1" applyBorder="1" applyFont="1" applyNumberFormat="1">
      <alignment readingOrder="0" vertical="center"/>
    </xf>
    <xf borderId="8" fillId="2" fontId="2" numFmtId="164" xfId="0" applyAlignment="1" applyBorder="1" applyFont="1" applyNumberFormat="1">
      <alignment readingOrder="0" vertical="center"/>
    </xf>
    <xf borderId="8" fillId="2" fontId="2" numFmtId="164" xfId="0" applyAlignment="1" applyBorder="1" applyFont="1" applyNumberFormat="1">
      <alignment vertical="center"/>
    </xf>
    <xf borderId="8" fillId="2" fontId="2" numFmtId="0" xfId="0" applyAlignment="1" applyBorder="1" applyFont="1">
      <alignment vertical="center"/>
    </xf>
    <xf borderId="9" fillId="2" fontId="2" numFmtId="10" xfId="0" applyAlignment="1" applyBorder="1" applyFont="1" applyNumberFormat="1">
      <alignment readingOrder="0" vertical="center"/>
    </xf>
    <xf borderId="9" fillId="4" fontId="3" numFmtId="10" xfId="0" applyAlignment="1" applyBorder="1" applyFont="1" applyNumberFormat="1">
      <alignment readingOrder="0" vertical="center"/>
    </xf>
  </cellXfs>
  <cellStyles count="1">
    <cellStyle xfId="0" name="Normal" builtinId="0"/>
  </cellStyles>
  <dxfs count="2">
    <dxf>
      <font/>
      <fill>
        <patternFill patternType="solid">
          <fgColor rgb="FF38761D"/>
          <bgColor rgb="FF38761D"/>
        </patternFill>
      </fill>
      <border/>
    </dxf>
    <dxf>
      <font>
        <b/>
        <color rgb="FFFFFFF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23.0"/>
    <col customWidth="1" min="2" max="2" width="11.75"/>
    <col customWidth="1" min="3" max="5" width="10.13"/>
    <col customWidth="1" min="6" max="6" width="5.13"/>
    <col customWidth="1" min="7" max="7" width="10.13"/>
    <col customWidth="1" min="8" max="64" width="2.63"/>
    <col customWidth="1" min="65" max="92" width="4.1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c r="A2" s="3" t="s">
        <v>1</v>
      </c>
      <c r="B2" s="4"/>
      <c r="C2" s="4"/>
      <c r="D2" s="4"/>
      <c r="E2" s="4"/>
      <c r="F2" s="5" t="s">
        <v>2</v>
      </c>
      <c r="G2" s="6">
        <v>46043.0</v>
      </c>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row>
    <row r="3">
      <c r="A3" s="7" t="s">
        <v>3</v>
      </c>
      <c r="B3" s="2"/>
      <c r="C3" s="2"/>
      <c r="D3" s="2"/>
      <c r="E3" s="2"/>
      <c r="F3" s="5" t="s">
        <v>4</v>
      </c>
      <c r="G3" s="8">
        <v>1.0</v>
      </c>
      <c r="H3" s="2"/>
      <c r="I3" s="9">
        <f>I4</f>
        <v>46041</v>
      </c>
      <c r="J3" s="10"/>
      <c r="K3" s="10"/>
      <c r="L3" s="10"/>
      <c r="M3" s="10"/>
      <c r="N3" s="10"/>
      <c r="O3" s="11"/>
      <c r="P3" s="9">
        <f>P4</f>
        <v>46048</v>
      </c>
      <c r="Q3" s="10"/>
      <c r="R3" s="10"/>
      <c r="S3" s="10"/>
      <c r="T3" s="10"/>
      <c r="U3" s="10"/>
      <c r="V3" s="11"/>
      <c r="W3" s="9">
        <f>W4</f>
        <v>46055</v>
      </c>
      <c r="X3" s="10"/>
      <c r="Y3" s="10"/>
      <c r="Z3" s="10"/>
      <c r="AA3" s="10"/>
      <c r="AB3" s="10"/>
      <c r="AC3" s="11"/>
      <c r="AD3" s="9">
        <f>AD4</f>
        <v>46062</v>
      </c>
      <c r="AE3" s="10"/>
      <c r="AF3" s="10"/>
      <c r="AG3" s="10"/>
      <c r="AH3" s="10"/>
      <c r="AI3" s="10"/>
      <c r="AJ3" s="11"/>
      <c r="AK3" s="9">
        <f>AK4</f>
        <v>46069</v>
      </c>
      <c r="AL3" s="10"/>
      <c r="AM3" s="10"/>
      <c r="AN3" s="10"/>
      <c r="AO3" s="10"/>
      <c r="AP3" s="10"/>
      <c r="AQ3" s="11"/>
      <c r="AR3" s="9">
        <f>AR4</f>
        <v>46076</v>
      </c>
      <c r="AS3" s="10"/>
      <c r="AT3" s="10"/>
      <c r="AU3" s="10"/>
      <c r="AV3" s="10"/>
      <c r="AW3" s="10"/>
      <c r="AX3" s="11"/>
      <c r="AY3" s="9">
        <f>AY4</f>
        <v>46083</v>
      </c>
      <c r="AZ3" s="10"/>
      <c r="BA3" s="10"/>
      <c r="BB3" s="10"/>
      <c r="BC3" s="10"/>
      <c r="BD3" s="10"/>
      <c r="BE3" s="11"/>
      <c r="BF3" s="9">
        <f>BF4</f>
        <v>46090</v>
      </c>
      <c r="BG3" s="10"/>
      <c r="BH3" s="10"/>
      <c r="BI3" s="10"/>
      <c r="BJ3" s="10"/>
      <c r="BK3" s="10"/>
      <c r="BL3" s="11"/>
      <c r="BM3" s="12"/>
      <c r="BT3" s="12"/>
      <c r="CA3" s="12"/>
      <c r="CB3" s="12"/>
      <c r="CC3" s="12"/>
      <c r="CD3" s="12"/>
      <c r="CE3" s="12"/>
      <c r="CF3" s="12"/>
      <c r="CG3" s="12"/>
      <c r="CH3" s="12"/>
      <c r="CI3" s="12"/>
      <c r="CJ3" s="12"/>
      <c r="CK3" s="12"/>
      <c r="CL3" s="12"/>
      <c r="CM3" s="12"/>
      <c r="CN3" s="12"/>
    </row>
    <row r="4">
      <c r="A4" s="2"/>
      <c r="B4" s="2"/>
      <c r="C4" s="2"/>
      <c r="D4" s="2"/>
      <c r="E4" s="2"/>
      <c r="F4" s="2"/>
      <c r="G4" s="2"/>
      <c r="H4" s="2"/>
      <c r="I4" s="13">
        <f>$G$2-WEEKDAY(G2,3)+(G3-1)*7</f>
        <v>46041</v>
      </c>
      <c r="J4" s="14">
        <f t="shared" ref="J4:BL4" si="1">I4+1</f>
        <v>46042</v>
      </c>
      <c r="K4" s="14">
        <f t="shared" si="1"/>
        <v>46043</v>
      </c>
      <c r="L4" s="14">
        <f t="shared" si="1"/>
        <v>46044</v>
      </c>
      <c r="M4" s="14">
        <f t="shared" si="1"/>
        <v>46045</v>
      </c>
      <c r="N4" s="14">
        <f t="shared" si="1"/>
        <v>46046</v>
      </c>
      <c r="O4" s="15">
        <f t="shared" si="1"/>
        <v>46047</v>
      </c>
      <c r="P4" s="13">
        <f t="shared" si="1"/>
        <v>46048</v>
      </c>
      <c r="Q4" s="14">
        <f t="shared" si="1"/>
        <v>46049</v>
      </c>
      <c r="R4" s="14">
        <f t="shared" si="1"/>
        <v>46050</v>
      </c>
      <c r="S4" s="14">
        <f t="shared" si="1"/>
        <v>46051</v>
      </c>
      <c r="T4" s="14">
        <f t="shared" si="1"/>
        <v>46052</v>
      </c>
      <c r="U4" s="14">
        <f t="shared" si="1"/>
        <v>46053</v>
      </c>
      <c r="V4" s="15">
        <f t="shared" si="1"/>
        <v>46054</v>
      </c>
      <c r="W4" s="13">
        <f t="shared" si="1"/>
        <v>46055</v>
      </c>
      <c r="X4" s="14">
        <f t="shared" si="1"/>
        <v>46056</v>
      </c>
      <c r="Y4" s="14">
        <f t="shared" si="1"/>
        <v>46057</v>
      </c>
      <c r="Z4" s="14">
        <f t="shared" si="1"/>
        <v>46058</v>
      </c>
      <c r="AA4" s="14">
        <f t="shared" si="1"/>
        <v>46059</v>
      </c>
      <c r="AB4" s="14">
        <f t="shared" si="1"/>
        <v>46060</v>
      </c>
      <c r="AC4" s="15">
        <f t="shared" si="1"/>
        <v>46061</v>
      </c>
      <c r="AD4" s="13">
        <f t="shared" si="1"/>
        <v>46062</v>
      </c>
      <c r="AE4" s="14">
        <f t="shared" si="1"/>
        <v>46063</v>
      </c>
      <c r="AF4" s="14">
        <f t="shared" si="1"/>
        <v>46064</v>
      </c>
      <c r="AG4" s="14">
        <f t="shared" si="1"/>
        <v>46065</v>
      </c>
      <c r="AH4" s="14">
        <f t="shared" si="1"/>
        <v>46066</v>
      </c>
      <c r="AI4" s="14">
        <f t="shared" si="1"/>
        <v>46067</v>
      </c>
      <c r="AJ4" s="15">
        <f t="shared" si="1"/>
        <v>46068</v>
      </c>
      <c r="AK4" s="13">
        <f t="shared" si="1"/>
        <v>46069</v>
      </c>
      <c r="AL4" s="14">
        <f t="shared" si="1"/>
        <v>46070</v>
      </c>
      <c r="AM4" s="14">
        <f t="shared" si="1"/>
        <v>46071</v>
      </c>
      <c r="AN4" s="14">
        <f t="shared" si="1"/>
        <v>46072</v>
      </c>
      <c r="AO4" s="14">
        <f t="shared" si="1"/>
        <v>46073</v>
      </c>
      <c r="AP4" s="14">
        <f t="shared" si="1"/>
        <v>46074</v>
      </c>
      <c r="AQ4" s="15">
        <f t="shared" si="1"/>
        <v>46075</v>
      </c>
      <c r="AR4" s="13">
        <f t="shared" si="1"/>
        <v>46076</v>
      </c>
      <c r="AS4" s="14">
        <f t="shared" si="1"/>
        <v>46077</v>
      </c>
      <c r="AT4" s="14">
        <f t="shared" si="1"/>
        <v>46078</v>
      </c>
      <c r="AU4" s="14">
        <f t="shared" si="1"/>
        <v>46079</v>
      </c>
      <c r="AV4" s="14">
        <f t="shared" si="1"/>
        <v>46080</v>
      </c>
      <c r="AW4" s="14">
        <f t="shared" si="1"/>
        <v>46081</v>
      </c>
      <c r="AX4" s="15">
        <f t="shared" si="1"/>
        <v>46082</v>
      </c>
      <c r="AY4" s="13">
        <f t="shared" si="1"/>
        <v>46083</v>
      </c>
      <c r="AZ4" s="14">
        <f t="shared" si="1"/>
        <v>46084</v>
      </c>
      <c r="BA4" s="14">
        <f t="shared" si="1"/>
        <v>46085</v>
      </c>
      <c r="BB4" s="14">
        <f t="shared" si="1"/>
        <v>46086</v>
      </c>
      <c r="BC4" s="14">
        <f t="shared" si="1"/>
        <v>46087</v>
      </c>
      <c r="BD4" s="14">
        <f t="shared" si="1"/>
        <v>46088</v>
      </c>
      <c r="BE4" s="15">
        <f t="shared" si="1"/>
        <v>46089</v>
      </c>
      <c r="BF4" s="13">
        <f t="shared" si="1"/>
        <v>46090</v>
      </c>
      <c r="BG4" s="14">
        <f t="shared" si="1"/>
        <v>46091</v>
      </c>
      <c r="BH4" s="14">
        <f t="shared" si="1"/>
        <v>46092</v>
      </c>
      <c r="BI4" s="14">
        <f t="shared" si="1"/>
        <v>46093</v>
      </c>
      <c r="BJ4" s="14">
        <f t="shared" si="1"/>
        <v>46094</v>
      </c>
      <c r="BK4" s="14">
        <f t="shared" si="1"/>
        <v>46095</v>
      </c>
      <c r="BL4" s="15">
        <f t="shared" si="1"/>
        <v>46096</v>
      </c>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row>
    <row r="5">
      <c r="A5" s="17" t="s">
        <v>5</v>
      </c>
      <c r="B5" s="17" t="s">
        <v>6</v>
      </c>
      <c r="C5" s="17" t="s">
        <v>7</v>
      </c>
      <c r="D5" s="17"/>
      <c r="E5" s="17" t="s">
        <v>8</v>
      </c>
      <c r="F5" s="17" t="s">
        <v>9</v>
      </c>
      <c r="G5" s="17" t="s">
        <v>10</v>
      </c>
      <c r="H5" s="18"/>
      <c r="I5" s="18" t="str">
        <f t="shared" ref="I5:BL5" si="2">LEFT(TEXT(I4,"ddd"),1)</f>
        <v>M</v>
      </c>
      <c r="J5" s="18" t="str">
        <f t="shared" si="2"/>
        <v>T</v>
      </c>
      <c r="K5" s="18" t="str">
        <f t="shared" si="2"/>
        <v>W</v>
      </c>
      <c r="L5" s="18" t="str">
        <f t="shared" si="2"/>
        <v>T</v>
      </c>
      <c r="M5" s="18" t="str">
        <f t="shared" si="2"/>
        <v>F</v>
      </c>
      <c r="N5" s="18" t="str">
        <f t="shared" si="2"/>
        <v>S</v>
      </c>
      <c r="O5" s="18" t="str">
        <f t="shared" si="2"/>
        <v>S</v>
      </c>
      <c r="P5" s="18" t="str">
        <f t="shared" si="2"/>
        <v>M</v>
      </c>
      <c r="Q5" s="18" t="str">
        <f t="shared" si="2"/>
        <v>T</v>
      </c>
      <c r="R5" s="18" t="str">
        <f t="shared" si="2"/>
        <v>W</v>
      </c>
      <c r="S5" s="18" t="str">
        <f t="shared" si="2"/>
        <v>T</v>
      </c>
      <c r="T5" s="18" t="str">
        <f t="shared" si="2"/>
        <v>F</v>
      </c>
      <c r="U5" s="18" t="str">
        <f t="shared" si="2"/>
        <v>S</v>
      </c>
      <c r="V5" s="18" t="str">
        <f t="shared" si="2"/>
        <v>S</v>
      </c>
      <c r="W5" s="18" t="str">
        <f t="shared" si="2"/>
        <v>M</v>
      </c>
      <c r="X5" s="18" t="str">
        <f t="shared" si="2"/>
        <v>T</v>
      </c>
      <c r="Y5" s="18" t="str">
        <f t="shared" si="2"/>
        <v>W</v>
      </c>
      <c r="Z5" s="18" t="str">
        <f t="shared" si="2"/>
        <v>T</v>
      </c>
      <c r="AA5" s="18" t="str">
        <f t="shared" si="2"/>
        <v>F</v>
      </c>
      <c r="AB5" s="18" t="str">
        <f t="shared" si="2"/>
        <v>S</v>
      </c>
      <c r="AC5" s="18" t="str">
        <f t="shared" si="2"/>
        <v>S</v>
      </c>
      <c r="AD5" s="18" t="str">
        <f t="shared" si="2"/>
        <v>M</v>
      </c>
      <c r="AE5" s="18" t="str">
        <f t="shared" si="2"/>
        <v>T</v>
      </c>
      <c r="AF5" s="18" t="str">
        <f t="shared" si="2"/>
        <v>W</v>
      </c>
      <c r="AG5" s="18" t="str">
        <f t="shared" si="2"/>
        <v>T</v>
      </c>
      <c r="AH5" s="18" t="str">
        <f t="shared" si="2"/>
        <v>F</v>
      </c>
      <c r="AI5" s="18" t="str">
        <f t="shared" si="2"/>
        <v>S</v>
      </c>
      <c r="AJ5" s="18" t="str">
        <f t="shared" si="2"/>
        <v>S</v>
      </c>
      <c r="AK5" s="18" t="str">
        <f t="shared" si="2"/>
        <v>M</v>
      </c>
      <c r="AL5" s="18" t="str">
        <f t="shared" si="2"/>
        <v>T</v>
      </c>
      <c r="AM5" s="18" t="str">
        <f t="shared" si="2"/>
        <v>W</v>
      </c>
      <c r="AN5" s="18" t="str">
        <f t="shared" si="2"/>
        <v>T</v>
      </c>
      <c r="AO5" s="18" t="str">
        <f t="shared" si="2"/>
        <v>F</v>
      </c>
      <c r="AP5" s="18" t="str">
        <f t="shared" si="2"/>
        <v>S</v>
      </c>
      <c r="AQ5" s="18" t="str">
        <f t="shared" si="2"/>
        <v>S</v>
      </c>
      <c r="AR5" s="18" t="str">
        <f t="shared" si="2"/>
        <v>M</v>
      </c>
      <c r="AS5" s="18" t="str">
        <f t="shared" si="2"/>
        <v>T</v>
      </c>
      <c r="AT5" s="18" t="str">
        <f t="shared" si="2"/>
        <v>W</v>
      </c>
      <c r="AU5" s="18" t="str">
        <f t="shared" si="2"/>
        <v>T</v>
      </c>
      <c r="AV5" s="18" t="str">
        <f t="shared" si="2"/>
        <v>F</v>
      </c>
      <c r="AW5" s="18" t="str">
        <f t="shared" si="2"/>
        <v>S</v>
      </c>
      <c r="AX5" s="18" t="str">
        <f t="shared" si="2"/>
        <v>S</v>
      </c>
      <c r="AY5" s="18" t="str">
        <f t="shared" si="2"/>
        <v>M</v>
      </c>
      <c r="AZ5" s="18" t="str">
        <f t="shared" si="2"/>
        <v>T</v>
      </c>
      <c r="BA5" s="18" t="str">
        <f t="shared" si="2"/>
        <v>W</v>
      </c>
      <c r="BB5" s="18" t="str">
        <f t="shared" si="2"/>
        <v>T</v>
      </c>
      <c r="BC5" s="18" t="str">
        <f t="shared" si="2"/>
        <v>F</v>
      </c>
      <c r="BD5" s="18" t="str">
        <f t="shared" si="2"/>
        <v>S</v>
      </c>
      <c r="BE5" s="18" t="str">
        <f t="shared" si="2"/>
        <v>S</v>
      </c>
      <c r="BF5" s="18" t="str">
        <f t="shared" si="2"/>
        <v>M</v>
      </c>
      <c r="BG5" s="18" t="str">
        <f t="shared" si="2"/>
        <v>T</v>
      </c>
      <c r="BH5" s="18" t="str">
        <f t="shared" si="2"/>
        <v>W</v>
      </c>
      <c r="BI5" s="18" t="str">
        <f t="shared" si="2"/>
        <v>T</v>
      </c>
      <c r="BJ5" s="18" t="str">
        <f t="shared" si="2"/>
        <v>F</v>
      </c>
      <c r="BK5" s="18" t="str">
        <f t="shared" si="2"/>
        <v>S</v>
      </c>
      <c r="BL5" s="18" t="str">
        <f t="shared" si="2"/>
        <v>S</v>
      </c>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row>
    <row r="6">
      <c r="A6" s="19" t="s">
        <v>11</v>
      </c>
      <c r="B6" s="20"/>
      <c r="C6" s="21"/>
      <c r="D6" s="20"/>
      <c r="E6" s="20">
        <f>MIN(E7:E10)</f>
        <v>46041</v>
      </c>
      <c r="F6" s="22"/>
      <c r="G6" s="23">
        <f>MAX(G7:G10)</f>
        <v>46054</v>
      </c>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4"/>
      <c r="BN6" s="2"/>
      <c r="BO6" s="2"/>
      <c r="BP6" s="2"/>
      <c r="BQ6" s="2"/>
      <c r="BR6" s="2"/>
      <c r="BS6" s="2"/>
      <c r="BT6" s="2"/>
      <c r="BU6" s="2"/>
      <c r="BV6" s="2"/>
      <c r="BW6" s="2"/>
      <c r="BX6" s="2"/>
      <c r="BY6" s="2"/>
      <c r="BZ6" s="2"/>
      <c r="CA6" s="2"/>
      <c r="CB6" s="2"/>
      <c r="CC6" s="2"/>
      <c r="CD6" s="2"/>
      <c r="CE6" s="2"/>
      <c r="CF6" s="2"/>
      <c r="CG6" s="2"/>
      <c r="CH6" s="2"/>
      <c r="CI6" s="2"/>
      <c r="CJ6" s="2"/>
      <c r="CK6" s="2"/>
      <c r="CL6" s="2"/>
      <c r="CM6" s="2"/>
      <c r="CN6" s="2"/>
    </row>
    <row r="7" outlineLevel="1">
      <c r="A7" s="25" t="s">
        <v>12</v>
      </c>
      <c r="B7" s="25" t="s">
        <v>13</v>
      </c>
      <c r="C7" s="26">
        <v>1.0</v>
      </c>
      <c r="D7" s="27" t="str">
        <f>IFERROR(__xludf.DUMMYFUNCTION("IFERROR(SPARKLINE(C7,{""charttype"",""bar"";""color1"",""gray"";""max"",1}))"),"")</f>
        <v/>
      </c>
      <c r="E7" s="27">
        <v>46041.0</v>
      </c>
      <c r="F7" s="25">
        <v>9.0</v>
      </c>
      <c r="G7" s="28">
        <f t="shared" ref="G7:G10" si="3">E7+F7-1</f>
        <v>46049</v>
      </c>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row>
    <row r="8" outlineLevel="1">
      <c r="A8" s="25" t="s">
        <v>14</v>
      </c>
      <c r="B8" s="25" t="s">
        <v>15</v>
      </c>
      <c r="C8" s="30">
        <v>1.0</v>
      </c>
      <c r="D8" s="27" t="str">
        <f>IFERROR(__xludf.DUMMYFUNCTION("IFERROR(SPARKLINE(C8,{""charttype"",""bar"";""color1"",""gray"";""max"",1}))"),"")</f>
        <v/>
      </c>
      <c r="E8" s="28">
        <f>G7-4</f>
        <v>46045</v>
      </c>
      <c r="F8" s="25">
        <v>10.0</v>
      </c>
      <c r="G8" s="28">
        <f t="shared" si="3"/>
        <v>46054</v>
      </c>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row>
    <row r="9" outlineLevel="1">
      <c r="A9" s="25" t="s">
        <v>16</v>
      </c>
      <c r="B9" s="25" t="s">
        <v>17</v>
      </c>
      <c r="C9" s="30">
        <v>1.0</v>
      </c>
      <c r="D9" s="27" t="str">
        <f>IFERROR(__xludf.DUMMYFUNCTION("IFERROR(SPARKLINE(C9,{""charttype"",""bar"";""color1"",""gray"";""max"",1}))"),"")</f>
        <v/>
      </c>
      <c r="E9" s="28">
        <f>G8-8</f>
        <v>46046</v>
      </c>
      <c r="F9" s="25">
        <v>7.0</v>
      </c>
      <c r="G9" s="28">
        <f t="shared" si="3"/>
        <v>46052</v>
      </c>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row>
    <row r="10" outlineLevel="1">
      <c r="A10" s="25" t="s">
        <v>18</v>
      </c>
      <c r="B10" s="25" t="s">
        <v>19</v>
      </c>
      <c r="C10" s="30">
        <v>1.0</v>
      </c>
      <c r="D10" s="27" t="str">
        <f>IFERROR(__xludf.DUMMYFUNCTION("IFERROR(SPARKLINE(C10,{""charttype"",""bar"";""color1"",""gray"";""max"",1}))"),"")</f>
        <v/>
      </c>
      <c r="E10" s="28">
        <f>G9</f>
        <v>46052</v>
      </c>
      <c r="F10" s="25">
        <v>3.0</v>
      </c>
      <c r="G10" s="28">
        <f t="shared" si="3"/>
        <v>46054</v>
      </c>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row>
    <row r="11">
      <c r="A11" s="19" t="s">
        <v>20</v>
      </c>
      <c r="B11" s="20"/>
      <c r="C11" s="31"/>
      <c r="D11" s="20"/>
      <c r="E11" s="20">
        <f>MIN(E12:E15)</f>
        <v>46055</v>
      </c>
      <c r="F11" s="22"/>
      <c r="G11" s="23">
        <f>MAX(G12:G15)</f>
        <v>46068</v>
      </c>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row>
    <row r="12" outlineLevel="1">
      <c r="A12" s="25" t="s">
        <v>21</v>
      </c>
      <c r="B12" s="25" t="s">
        <v>22</v>
      </c>
      <c r="C12" s="26">
        <v>1.0</v>
      </c>
      <c r="D12" s="27" t="str">
        <f>IFERROR(__xludf.DUMMYFUNCTION("IFERROR(SPARKLINE(C12,{""charttype"",""bar"";""color1"",""gray"";""max"",1}))"),"")</f>
        <v/>
      </c>
      <c r="E12" s="27">
        <f>G10+1</f>
        <v>46055</v>
      </c>
      <c r="F12" s="25">
        <v>7.0</v>
      </c>
      <c r="G12" s="28">
        <f t="shared" ref="G12:G15" si="4">E12+F12-1</f>
        <v>46061</v>
      </c>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row>
    <row r="13" outlineLevel="1">
      <c r="A13" s="25" t="s">
        <v>23</v>
      </c>
      <c r="B13" s="25" t="s">
        <v>22</v>
      </c>
      <c r="C13" s="30">
        <v>0.8</v>
      </c>
      <c r="D13" s="27" t="str">
        <f>IFERROR(__xludf.DUMMYFUNCTION("IFERROR(SPARKLINE(C13,{""charttype"",""bar"";""color1"",""gray"";""max"",1}))"),"")</f>
        <v/>
      </c>
      <c r="E13" s="28">
        <f>G12-4</f>
        <v>46057</v>
      </c>
      <c r="F13" s="25">
        <v>7.0</v>
      </c>
      <c r="G13" s="28">
        <f t="shared" si="4"/>
        <v>46063</v>
      </c>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row>
    <row r="14" outlineLevel="1">
      <c r="A14" s="25" t="s">
        <v>24</v>
      </c>
      <c r="B14" s="25" t="s">
        <v>17</v>
      </c>
      <c r="C14" s="30">
        <v>0.75</v>
      </c>
      <c r="D14" s="27" t="str">
        <f>IFERROR(__xludf.DUMMYFUNCTION("IFERROR(SPARKLINE(C14,{""charttype"",""bar"";""color1"",""gray"";""max"",1}))"),"")</f>
        <v/>
      </c>
      <c r="E14" s="28">
        <f t="shared" ref="E14:E15" si="5">G13-2</f>
        <v>46061</v>
      </c>
      <c r="F14" s="25">
        <v>6.0</v>
      </c>
      <c r="G14" s="28">
        <f t="shared" si="4"/>
        <v>46066</v>
      </c>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row>
    <row r="15" outlineLevel="1">
      <c r="A15" s="25" t="s">
        <v>25</v>
      </c>
      <c r="B15" s="25" t="s">
        <v>17</v>
      </c>
      <c r="C15" s="30">
        <v>0.8</v>
      </c>
      <c r="D15" s="27" t="str">
        <f>IFERROR(__xludf.DUMMYFUNCTION("IFERROR(SPARKLINE(C15,{""charttype"",""bar"";""color1"",""gray"";""max"",1}))"),"")</f>
        <v/>
      </c>
      <c r="E15" s="28">
        <f t="shared" si="5"/>
        <v>46064</v>
      </c>
      <c r="F15" s="25">
        <v>5.0</v>
      </c>
      <c r="G15" s="28">
        <f t="shared" si="4"/>
        <v>46068</v>
      </c>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row>
    <row r="16">
      <c r="A16" s="19" t="s">
        <v>26</v>
      </c>
      <c r="B16" s="20"/>
      <c r="C16" s="31"/>
      <c r="D16" s="20"/>
      <c r="E16" s="20">
        <f>MIN(E17:E20)</f>
        <v>46069</v>
      </c>
      <c r="F16" s="22"/>
      <c r="G16" s="23">
        <f>MAX(G17:G20)</f>
        <v>46082</v>
      </c>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row>
    <row r="17">
      <c r="A17" s="25" t="s">
        <v>27</v>
      </c>
      <c r="B17" s="25" t="s">
        <v>22</v>
      </c>
      <c r="C17" s="30">
        <v>0.0</v>
      </c>
      <c r="D17" s="27" t="str">
        <f>IFERROR(__xludf.DUMMYFUNCTION("IFERROR(SPARKLINE(C17,{""charttype"",""bar"";""color1"",""gray"";""max"",1}))"),"")</f>
        <v/>
      </c>
      <c r="E17" s="27">
        <f>G15+1</f>
        <v>46069</v>
      </c>
      <c r="F17" s="25">
        <v>3.0</v>
      </c>
      <c r="G17" s="28">
        <f t="shared" ref="G17:G20" si="6">E17+F17-1</f>
        <v>46071</v>
      </c>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row>
    <row r="18">
      <c r="A18" s="25" t="s">
        <v>14</v>
      </c>
      <c r="B18" s="25" t="s">
        <v>22</v>
      </c>
      <c r="C18" s="30">
        <v>0.0</v>
      </c>
      <c r="D18" s="27" t="str">
        <f>IFERROR(__xludf.DUMMYFUNCTION("IFERROR(SPARKLINE(C18,{""charttype"",""bar"";""color1"",""gray"";""max"",1}))"),"")</f>
        <v/>
      </c>
      <c r="E18" s="28">
        <f t="shared" ref="E18:E20" si="7">G17+1</f>
        <v>46072</v>
      </c>
      <c r="F18" s="25">
        <v>3.0</v>
      </c>
      <c r="G18" s="28">
        <f t="shared" si="6"/>
        <v>46074</v>
      </c>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row>
    <row r="19">
      <c r="A19" s="25" t="s">
        <v>28</v>
      </c>
      <c r="B19" s="25" t="s">
        <v>17</v>
      </c>
      <c r="C19" s="30">
        <v>0.0</v>
      </c>
      <c r="D19" s="27" t="str">
        <f>IFERROR(__xludf.DUMMYFUNCTION("IFERROR(SPARKLINE(C19,{""charttype"",""bar"";""color1"",""gray"";""max"",1}))"),"")</f>
        <v/>
      </c>
      <c r="E19" s="28">
        <f t="shared" si="7"/>
        <v>46075</v>
      </c>
      <c r="F19" s="25">
        <v>5.0</v>
      </c>
      <c r="G19" s="28">
        <f t="shared" si="6"/>
        <v>46079</v>
      </c>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row>
    <row r="20">
      <c r="A20" s="25" t="s">
        <v>29</v>
      </c>
      <c r="B20" s="25" t="s">
        <v>17</v>
      </c>
      <c r="C20" s="30">
        <v>0.0</v>
      </c>
      <c r="D20" s="27" t="str">
        <f>IFERROR(__xludf.DUMMYFUNCTION("IFERROR(SPARKLINE(C20,{""charttype"",""bar"";""color1"",""gray"";""max"",1}))"),"")</f>
        <v/>
      </c>
      <c r="E20" s="28">
        <f t="shared" si="7"/>
        <v>46080</v>
      </c>
      <c r="F20" s="25">
        <v>3.0</v>
      </c>
      <c r="G20" s="28">
        <f t="shared" si="6"/>
        <v>46082</v>
      </c>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row>
    <row r="21">
      <c r="A21" s="19" t="s">
        <v>30</v>
      </c>
      <c r="B21" s="20"/>
      <c r="C21" s="31"/>
      <c r="D21" s="20"/>
      <c r="E21" s="20">
        <f>MIN(E22:E25)</f>
        <v>46083</v>
      </c>
      <c r="F21" s="22"/>
      <c r="G21" s="23">
        <f>MAX(G22:G25)</f>
        <v>46094</v>
      </c>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row>
    <row r="22">
      <c r="A22" s="25" t="s">
        <v>31</v>
      </c>
      <c r="B22" s="25" t="s">
        <v>22</v>
      </c>
      <c r="C22" s="30">
        <v>0.0</v>
      </c>
      <c r="D22" s="27" t="str">
        <f>IFERROR(__xludf.DUMMYFUNCTION("IFERROR(SPARKLINE(C22,{""charttype"",""bar"";""color1"",""gray"";""max"",1}))"),"")</f>
        <v/>
      </c>
      <c r="E22" s="27">
        <f>G20+1</f>
        <v>46083</v>
      </c>
      <c r="F22" s="25">
        <v>3.0</v>
      </c>
      <c r="G22" s="28">
        <f t="shared" ref="G22:G25" si="8">E22+F22-1</f>
        <v>46085</v>
      </c>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row>
    <row r="23">
      <c r="A23" s="25" t="s">
        <v>32</v>
      </c>
      <c r="B23" s="25" t="s">
        <v>22</v>
      </c>
      <c r="C23" s="30">
        <v>0.0</v>
      </c>
      <c r="D23" s="27" t="str">
        <f>IFERROR(__xludf.DUMMYFUNCTION("IFERROR(SPARKLINE(C23,{""charttype"",""bar"";""color1"",""gray"";""max"",1}))"),"")</f>
        <v/>
      </c>
      <c r="E23" s="28">
        <f t="shared" ref="E23:E25" si="9">G22+1</f>
        <v>46086</v>
      </c>
      <c r="F23" s="25">
        <v>3.0</v>
      </c>
      <c r="G23" s="28">
        <f t="shared" si="8"/>
        <v>46088</v>
      </c>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row>
    <row r="24">
      <c r="A24" s="25" t="s">
        <v>33</v>
      </c>
      <c r="B24" s="25" t="s">
        <v>17</v>
      </c>
      <c r="C24" s="30">
        <v>0.0</v>
      </c>
      <c r="D24" s="27" t="str">
        <f>IFERROR(__xludf.DUMMYFUNCTION("IFERROR(SPARKLINE(C24,{""charttype"",""bar"";""color1"",""gray"";""max"",1}))"),"")</f>
        <v/>
      </c>
      <c r="E24" s="28">
        <f t="shared" si="9"/>
        <v>46089</v>
      </c>
      <c r="F24" s="25">
        <v>3.0</v>
      </c>
      <c r="G24" s="28">
        <f t="shared" si="8"/>
        <v>46091</v>
      </c>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row>
    <row r="25">
      <c r="A25" s="25" t="s">
        <v>34</v>
      </c>
      <c r="B25" s="25" t="s">
        <v>35</v>
      </c>
      <c r="C25" s="30">
        <v>0.0</v>
      </c>
      <c r="D25" s="27" t="str">
        <f>IFERROR(__xludf.DUMMYFUNCTION("IFERROR(SPARKLINE(C25,{""charttype"",""bar"";""color1"",""gray"";""max"",1}))"),"")</f>
        <v/>
      </c>
      <c r="E25" s="28">
        <f t="shared" si="9"/>
        <v>46092</v>
      </c>
      <c r="F25" s="25">
        <v>3.0</v>
      </c>
      <c r="G25" s="28">
        <f t="shared" si="8"/>
        <v>46094</v>
      </c>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row>
    <row r="27">
      <c r="A27" s="7" t="s">
        <v>36</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row>
    <row r="29">
      <c r="A29" s="7" t="s">
        <v>37</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row>
    <row r="30">
      <c r="A30" s="7" t="s">
        <v>38</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row>
    <row r="31">
      <c r="A31" s="7" t="s">
        <v>39</v>
      </c>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row>
    <row r="32">
      <c r="A32" s="7" t="s">
        <v>40</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row>
    <row r="33">
      <c r="A33" s="7" t="s">
        <v>41</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row>
    <row r="35">
      <c r="A35" s="7" t="s">
        <v>42</v>
      </c>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row>
    <row r="36">
      <c r="A36" s="7" t="s">
        <v>43</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row>
    <row r="37">
      <c r="A37" s="7" t="s">
        <v>44</v>
      </c>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row>
    <row r="38">
      <c r="A38" s="7" t="s">
        <v>45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row>
    <row r="39">
      <c r="A39" s="7" t="s">
        <v>46</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row>
    <row r="41">
      <c r="A41" s="7" t="s">
        <v>47</v>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row>
    <row r="42">
      <c r="A42" s="7" t="s">
        <v>48</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row>
    <row r="43">
      <c r="A43" s="7" t="s">
        <v>49</v>
      </c>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row>
    <row r="44">
      <c r="A44" s="7" t="s">
        <v>50</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row>
    <row r="45">
      <c r="A45" s="7" t="s">
        <v>51</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row>
    <row r="47">
      <c r="A47" s="7" t="s">
        <v>52</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row>
    <row r="48">
      <c r="A48" s="7" t="s">
        <v>53</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row>
    <row r="49">
      <c r="A49" s="7" t="s">
        <v>54</v>
      </c>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row>
    <row r="50">
      <c r="A50" s="7" t="s">
        <v>55</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row>
    <row r="51">
      <c r="A51" s="7" t="s">
        <v>56</v>
      </c>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row>
  </sheetData>
  <mergeCells count="10">
    <mergeCell ref="BF3:BL3"/>
    <mergeCell ref="BM3:BS3"/>
    <mergeCell ref="BT3:BZ3"/>
    <mergeCell ref="I3:O3"/>
    <mergeCell ref="P3:V3"/>
    <mergeCell ref="W3:AC3"/>
    <mergeCell ref="AD3:AJ3"/>
    <mergeCell ref="AK3:AQ3"/>
    <mergeCell ref="AR3:AX3"/>
    <mergeCell ref="AY3:BE3"/>
  </mergeCells>
  <conditionalFormatting sqref="I6:BL25 BM6">
    <cfRule type="expression" dxfId="0" priority="1">
      <formula>AND(I$4&gt;=$E6,I$4&lt;=$G6)</formula>
    </cfRule>
  </conditionalFormatting>
  <conditionalFormatting sqref="I4:BL4">
    <cfRule type="expression" dxfId="1" priority="2">
      <formula>I$4=TODAY()</formula>
    </cfRule>
  </conditionalFormatting>
  <drawing r:id="rId1"/>
</worksheet>
</file>